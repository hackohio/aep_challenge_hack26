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Hack Ohio\Hack 2026\"/>
    </mc:Choice>
  </mc:AlternateContent>
  <xr:revisionPtr revIDLastSave="0" documentId="8_{0C6C952E-833F-4762-ACFD-1802B4681FDA}" xr6:coauthVersionLast="47" xr6:coauthVersionMax="47" xr10:uidLastSave="{00000000-0000-0000-0000-000000000000}"/>
  <bookViews>
    <workbookView xWindow="-110" yWindow="-110" windowWidth="19420" windowHeight="11500" tabRatio="680" firstSheet="1" activeTab="1" xr2:uid="{28E60B53-8B31-4A7E-AA5F-718FE23CAFC1}"/>
  </bookViews>
  <sheets>
    <sheet name="CNC" sheetId="1" r:id="rId1"/>
    <sheet name="Labor time material related" sheetId="2" r:id="rId2"/>
    <sheet name="Labor only work" sheetId="14" r:id="rId3"/>
    <sheet name="Indirect Labor Multiplier" sheetId="24" r:id="rId4"/>
    <sheet name="CU Group descriptions" sheetId="2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F3" i="1"/>
  <c r="E3" i="1"/>
</calcChain>
</file>

<file path=xl/sharedStrings.xml><?xml version="1.0" encoding="utf-8"?>
<sst xmlns="http://schemas.openxmlformats.org/spreadsheetml/2006/main" count="235" uniqueCount="199">
  <si>
    <t>CD_CU</t>
  </si>
  <si>
    <t>INSTALL_HOURS</t>
  </si>
  <si>
    <t>REMOVE_HOURS</t>
  </si>
  <si>
    <t>CNC-HTA-10</t>
  </si>
  <si>
    <t>CNC-HTA-40</t>
  </si>
  <si>
    <t>CNC-HTA3-10</t>
  </si>
  <si>
    <t>CNC-HTA3-40</t>
  </si>
  <si>
    <t>CNC-LUBSB-600</t>
  </si>
  <si>
    <t>CNC-LUG-10</t>
  </si>
  <si>
    <t>CNC-LUG-1000</t>
  </si>
  <si>
    <t>CNC-LUG-1000A</t>
  </si>
  <si>
    <t>CNC-LUG-1000C</t>
  </si>
  <si>
    <t>CNC-LUG-1033</t>
  </si>
  <si>
    <t>CNC-LUG-10A</t>
  </si>
  <si>
    <t>CNC-LUG-10B-C</t>
  </si>
  <si>
    <t>CNC-LUG-10C</t>
  </si>
  <si>
    <t>CNC-LUG-2</t>
  </si>
  <si>
    <t>CNC-LUG-20A</t>
  </si>
  <si>
    <t>CNC-LUG-20C</t>
  </si>
  <si>
    <t>CNC-LUG-250A</t>
  </si>
  <si>
    <t>CNC-LUG-250C</t>
  </si>
  <si>
    <t>CNC-LUG-2A</t>
  </si>
  <si>
    <t>CNC-LUG-2C</t>
  </si>
  <si>
    <t>CNC-LUG-2CU</t>
  </si>
  <si>
    <t>CNC-LUG-300</t>
  </si>
  <si>
    <t>CNC-LUG-30A</t>
  </si>
  <si>
    <t>CNC-LUG-30C</t>
  </si>
  <si>
    <t>CNC-LUG-350</t>
  </si>
  <si>
    <t>CNC-LUG-350A</t>
  </si>
  <si>
    <t>CNC-LUG-350C</t>
  </si>
  <si>
    <t>CNC-LUG-397</t>
  </si>
  <si>
    <t>CNC-LUG-40</t>
  </si>
  <si>
    <t>CNC-LUG-40A</t>
  </si>
  <si>
    <t>CNC-LUG-40B-C</t>
  </si>
  <si>
    <t>CNC-LUG-40C</t>
  </si>
  <si>
    <t>CNC-LUG-477</t>
  </si>
  <si>
    <t>CNC-LUG-477A</t>
  </si>
  <si>
    <t>CNC-LUG-477B-C</t>
  </si>
  <si>
    <t>CNC-LUG-500</t>
  </si>
  <si>
    <t>CNC-LUG-500A</t>
  </si>
  <si>
    <t>CNC-LUG-500C</t>
  </si>
  <si>
    <t>CNC-LUG-556A</t>
  </si>
  <si>
    <t>CNC-LUG-556B-C</t>
  </si>
  <si>
    <t>CNC-LUG-600</t>
  </si>
  <si>
    <t>CNC-LUG-750A</t>
  </si>
  <si>
    <t>CNC-LUG-750C</t>
  </si>
  <si>
    <t>CNC-LUG-795</t>
  </si>
  <si>
    <t>CNC-LUG-795B-C</t>
  </si>
  <si>
    <t>CNC-LUGS-10A</t>
  </si>
  <si>
    <t>CNC-LUGS-30</t>
  </si>
  <si>
    <t>CNC-LUGS-30A</t>
  </si>
  <si>
    <t>CNC-LUGS-350A</t>
  </si>
  <si>
    <t>CNC-LUGS-350C</t>
  </si>
  <si>
    <t>CNC-LUGS-40A</t>
  </si>
  <si>
    <t>CNC-LUGS-40C</t>
  </si>
  <si>
    <t>CNC-LUGS-500A</t>
  </si>
  <si>
    <t>CNC-LUGS-500C</t>
  </si>
  <si>
    <t>CNC-LUGS-750A</t>
  </si>
  <si>
    <t>CNC-LUGS-750C</t>
  </si>
  <si>
    <t>CNC-LUGSB-600</t>
  </si>
  <si>
    <t>CNC-NTI-10</t>
  </si>
  <si>
    <t>CNC-NTI-2</t>
  </si>
  <si>
    <t>CNC-NTI-40</t>
  </si>
  <si>
    <t>CNC-NTM-052</t>
  </si>
  <si>
    <t>CNC-NTS-052-MSGR</t>
  </si>
  <si>
    <t>CNC-NTS-2</t>
  </si>
  <si>
    <t>CNC-NTS-40</t>
  </si>
  <si>
    <t>CNC-PFTS-052-MSGR</t>
  </si>
  <si>
    <t>CNC-PIN-10A</t>
  </si>
  <si>
    <t>CNC-PIN-20A</t>
  </si>
  <si>
    <t>CNC-PIN-2A</t>
  </si>
  <si>
    <t>CNC-PIN-350</t>
  </si>
  <si>
    <t>CNC-PIN-397</t>
  </si>
  <si>
    <t>CNC-PIN-4</t>
  </si>
  <si>
    <t>CNC-PIN-40A</t>
  </si>
  <si>
    <t>CNC-PIN-477</t>
  </si>
  <si>
    <t>CNC-PIN-750A</t>
  </si>
  <si>
    <t>CNC-PTM-052</t>
  </si>
  <si>
    <t>CNC-SCPT-10A-15</t>
  </si>
  <si>
    <t>CNC-SCPT-10A-35</t>
  </si>
  <si>
    <t>CNC-SCPT-40A-15</t>
  </si>
  <si>
    <t>CNC-SCPT-40A-35</t>
  </si>
  <si>
    <t>CNC-SCPT-556A-15</t>
  </si>
  <si>
    <t>CNC-SCPT-556A-35</t>
  </si>
  <si>
    <t>CNC-SCPT-795A-15</t>
  </si>
  <si>
    <t>CNC-SNB-10</t>
  </si>
  <si>
    <t>CNC-SNB-2</t>
  </si>
  <si>
    <t>CNC-SNB-40</t>
  </si>
  <si>
    <t>CNC-SNB-556</t>
  </si>
  <si>
    <t>CNC-SNI-10</t>
  </si>
  <si>
    <t>CNC-SNI-2</t>
  </si>
  <si>
    <t>CNC-SNI-40</t>
  </si>
  <si>
    <t>CNC-STA-10</t>
  </si>
  <si>
    <t>CNC-STA-2</t>
  </si>
  <si>
    <t>CNC-STA-40</t>
  </si>
  <si>
    <t>CNC-STC-10</t>
  </si>
  <si>
    <t>CNC-STC-2</t>
  </si>
  <si>
    <t>CNC-STC-40</t>
  </si>
  <si>
    <t>REC</t>
  </si>
  <si>
    <t>SVC</t>
  </si>
  <si>
    <t>Category</t>
  </si>
  <si>
    <t>Suggested Anonymous Description</t>
  </si>
  <si>
    <t>ARM</t>
  </si>
  <si>
    <t>BKT</t>
  </si>
  <si>
    <t>POL</t>
  </si>
  <si>
    <t>Perform work involving installation, replacement, modification, or adjustment of a primary supporting structure.</t>
  </si>
  <si>
    <t>ANC</t>
  </si>
  <si>
    <t>EQL</t>
  </si>
  <si>
    <t>Install, remove, or relocate electrical connection assemblies between equipment assets.</t>
  </si>
  <si>
    <t>GND</t>
  </si>
  <si>
    <t>Install, remove, or relocate grounding and bonding components used for safety and system continuity.</t>
  </si>
  <si>
    <t>GYF</t>
  </si>
  <si>
    <t>DEC</t>
  </si>
  <si>
    <t>Install, remove, or relocate mechanical termination assemblies used to secure conductors.</t>
  </si>
  <si>
    <t>DEG</t>
  </si>
  <si>
    <t>Install, remove, or relocate formed conductor-retention devices.</t>
  </si>
  <si>
    <t>INS</t>
  </si>
  <si>
    <t>Install, remove, or relocate insulating support assemblies used to separate energized components.</t>
  </si>
  <si>
    <t>PIN</t>
  </si>
  <si>
    <t>Install, remove, or relocate mounting hardware that supports insulating equipment.</t>
  </si>
  <si>
    <t>SAA</t>
  </si>
  <si>
    <t>Install, remove, or relocate hardware used to support secondary-level conductors and attachments.</t>
  </si>
  <si>
    <t>SWI</t>
  </si>
  <si>
    <t>Install, remove, or relocate switching and isolation equipment used to control circuit operation.</t>
  </si>
  <si>
    <t>XCO</t>
  </si>
  <si>
    <t>XRA</t>
  </si>
  <si>
    <t>Additional labor associated with restricted access locations, unusual equipment access requirements, or transportation constraints.</t>
  </si>
  <si>
    <t>Install, remove, or relocate structural support components used to mount equipment and accessories such as crossarms.</t>
  </si>
  <si>
    <t>Install, remove, or relocate attachment hardware such as brackets used to secure devices to supporting structures.</t>
  </si>
  <si>
    <t>Install, remove, or relocate subsurface anchor support systems used to provide lateral stability to infrastructure.</t>
  </si>
  <si>
    <t>Install, remove, or relocate tension-support hardware for guy wires used to stabilize elevated structures.</t>
  </si>
  <si>
    <t>Install, remove, or relocate reclosers / automated electrical control equipment.</t>
  </si>
  <si>
    <t>Install, remove, or relocate customer service connection conductors and associated attachments.</t>
  </si>
  <si>
    <t>Install, remove, or relocate protective interruption devices used for equipment isolation and overcurrent protection for transformers.</t>
  </si>
  <si>
    <t>Pole CU Average Hours by Size</t>
  </si>
  <si>
    <t>Size Group</t>
  </si>
  <si>
    <t>Height Range</t>
  </si>
  <si>
    <t>CU Count</t>
  </si>
  <si>
    <t>Avg Install Hours</t>
  </si>
  <si>
    <t>Avg Removal Hours</t>
  </si>
  <si>
    <t>Small</t>
  </si>
  <si>
    <t>25–35 ft</t>
  </si>
  <si>
    <t>Medium</t>
  </si>
  <si>
    <t>40–55 ft</t>
  </si>
  <si>
    <t>Large</t>
  </si>
  <si>
    <t>60 ft and above</t>
  </si>
  <si>
    <t>Crossarm CU Average Hours</t>
  </si>
  <si>
    <t>Connector CU Average Hours</t>
  </si>
  <si>
    <t>Includes all connector CU sizes and valid zero-hour records.</t>
  </si>
  <si>
    <t>Bracket CU Average Hours</t>
  </si>
  <si>
    <t>Transformer CU Average Hours by Size</t>
  </si>
  <si>
    <t>Size (kVA)</t>
  </si>
  <si>
    <t>Anchor CU Average Hours</t>
  </si>
  <si>
    <t>Equipment Lead CU Average Hours</t>
  </si>
  <si>
    <t>Grounding CU Average Hours</t>
  </si>
  <si>
    <t>Guying CU Average Hours</t>
  </si>
  <si>
    <t>Dead-End CU Average Hours</t>
  </si>
  <si>
    <t>Insulator CU Average Hours</t>
  </si>
  <si>
    <t>Pin CU Average Hours</t>
  </si>
  <si>
    <t>Recloser CU Average Hours</t>
  </si>
  <si>
    <t>Service CU Average Hours</t>
  </si>
  <si>
    <t>Switch CU Average Hours</t>
  </si>
  <si>
    <t>Original Intent</t>
  </si>
  <si>
    <t>Anonymized Work Type</t>
  </si>
  <si>
    <t>Anonymized Labor Description</t>
  </si>
  <si>
    <t>Difficult Location</t>
  </si>
  <si>
    <t>Restricted Access Work</t>
  </si>
  <si>
    <t>Additional labor required when work is performed in locations with limited access, increased setup requirements, or reduced equipment maneuverability.</t>
  </si>
  <si>
    <t>Backyard Adder</t>
  </si>
  <si>
    <t>Confined Property Access</t>
  </si>
  <si>
    <t>Additional labor required when work occurs in areas with restricted equipment access and higher material handling effort.</t>
  </si>
  <si>
    <t>Off-Road / Track Access</t>
  </si>
  <si>
    <t>Remote Site Access</t>
  </si>
  <si>
    <t>Additional labor required when personnel, materials, or equipment must travel over non-standard access routes.</t>
  </si>
  <si>
    <t>Hand Dig</t>
  </si>
  <si>
    <t>Manual Excavation</t>
  </si>
  <si>
    <t>Additional labor required when excavation activities cannot be performed using conventional equipment.</t>
  </si>
  <si>
    <t>Rock Hole</t>
  </si>
  <si>
    <t>Difficult Excavation</t>
  </si>
  <si>
    <t>Additional labor required when subsurface conditions significantly increase excavation effort.</t>
  </si>
  <si>
    <t>Pole Straighten / Rake</t>
  </si>
  <si>
    <t>Structural Realignment</t>
  </si>
  <si>
    <t>Additional labor required to adjust existing infrastructure to meet operational requirements.</t>
  </si>
  <si>
    <t>Junction Pole Work</t>
  </si>
  <si>
    <t>Complex Work Location</t>
  </si>
  <si>
    <t>Additional labor associated with work performed where multiple assets or connections converge.</t>
  </si>
  <si>
    <t>per cubic foot</t>
  </si>
  <si>
    <t>Access Constraint Adder</t>
  </si>
  <si>
    <t>Remote Location Adder</t>
  </si>
  <si>
    <t>Specialized Handling Adder</t>
  </si>
  <si>
    <t>Site Complexity Adder</t>
  </si>
  <si>
    <t>Apply when normal equipment access is obstructed or limited.</t>
  </si>
  <si>
    <t>Apply when a work location cannot be reached using standard access methods.</t>
  </si>
  <si>
    <t>Apply when additional transportation, lifting, or positioning resources are needed.</t>
  </si>
  <si>
    <t>Apply when physical site conditions substantially increase setup or execution effort.</t>
  </si>
  <si>
    <t>Secondary Conductor Attachment CU Average Hours</t>
  </si>
  <si>
    <t>Fuse Cutout Average Hours</t>
  </si>
  <si>
    <t>Indirect labor multipler (ILM)</t>
  </si>
  <si>
    <t>The ILM should be mutiplied time any labor hours to take into account drive time, safety discussion time, set up time,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</si>
</sst>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Segoe UI"/>
      <family val="2"/>
      <charset val="1"/>
    </font>
    <font>
      <sz val="11"/>
      <color theme="1"/>
      <name val="Aptos"/>
    </font>
    <font>
      <b/>
      <sz val="14"/>
      <color rgb="FFFFFFFF"/>
      <name val="Aptos"/>
    </font>
    <font>
      <b/>
      <sz val="11"/>
      <color theme="1"/>
      <name val="Aptos"/>
    </font>
    <font>
      <i/>
      <sz val="11"/>
      <color rgb="FF666666"/>
      <name val="Aptos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5" fillId="3" borderId="0" xfId="0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4" fillId="2" borderId="0" xfId="0" applyFont="1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CF04-255D-4F0F-BA0C-8D6B77E0FDAA}">
  <dimension ref="A1:G96"/>
  <sheetViews>
    <sheetView workbookViewId="0">
      <selection activeCell="G12" sqref="G12"/>
    </sheetView>
  </sheetViews>
  <sheetFormatPr defaultRowHeight="14.5" x14ac:dyDescent="0.35"/>
  <cols>
    <col min="4" max="4" width="3.453125" customWidth="1"/>
    <col min="5" max="5" width="15.26953125" customWidth="1"/>
    <col min="6" max="7" width="21" customWidth="1"/>
  </cols>
  <sheetData>
    <row r="1" spans="1:7" ht="18.5" x14ac:dyDescent="0.45">
      <c r="A1" s="1" t="s">
        <v>0</v>
      </c>
      <c r="B1" s="1" t="s">
        <v>1</v>
      </c>
      <c r="C1" s="1" t="s">
        <v>2</v>
      </c>
      <c r="E1" s="9" t="s">
        <v>147</v>
      </c>
      <c r="F1" s="9"/>
      <c r="G1" s="9"/>
    </row>
    <row r="2" spans="1:7" x14ac:dyDescent="0.35">
      <c r="A2" t="s">
        <v>3</v>
      </c>
      <c r="B2">
        <v>9.6000000000000002E-2</v>
      </c>
      <c r="C2">
        <v>1.6E-2</v>
      </c>
      <c r="E2" s="5" t="s">
        <v>137</v>
      </c>
      <c r="F2" s="5" t="s">
        <v>138</v>
      </c>
      <c r="G2" s="5" t="s">
        <v>139</v>
      </c>
    </row>
    <row r="3" spans="1:7" x14ac:dyDescent="0.35">
      <c r="A3" t="s">
        <v>4</v>
      </c>
      <c r="B3">
        <v>9.6000000000000002E-2</v>
      </c>
      <c r="C3">
        <v>1.6E-2</v>
      </c>
      <c r="E3" s="6">
        <f>COUNTA(A2:A96)</f>
        <v>95</v>
      </c>
      <c r="F3" s="7">
        <f>AVERAGE(B2:B96)</f>
        <v>0.21515789473684216</v>
      </c>
      <c r="G3" s="7">
        <f>AVERAGE(C2:C96)</f>
        <v>4.4800000000000027E-2</v>
      </c>
    </row>
    <row r="4" spans="1:7" x14ac:dyDescent="0.35">
      <c r="A4" t="s">
        <v>5</v>
      </c>
      <c r="B4">
        <v>9.6000000000000002E-2</v>
      </c>
      <c r="C4">
        <v>1.6E-2</v>
      </c>
      <c r="E4" s="4"/>
      <c r="F4" s="4"/>
      <c r="G4" s="4"/>
    </row>
    <row r="5" spans="1:7" x14ac:dyDescent="0.35">
      <c r="A5" t="s">
        <v>6</v>
      </c>
      <c r="B5">
        <v>9.6000000000000002E-2</v>
      </c>
      <c r="C5">
        <v>1.6E-2</v>
      </c>
      <c r="E5" s="10" t="s">
        <v>148</v>
      </c>
      <c r="F5" s="10"/>
      <c r="G5" s="10"/>
    </row>
    <row r="6" spans="1:7" x14ac:dyDescent="0.35">
      <c r="A6" t="s">
        <v>7</v>
      </c>
      <c r="B6">
        <v>0.224</v>
      </c>
      <c r="C6">
        <v>6.4000000000000001E-2</v>
      </c>
    </row>
    <row r="7" spans="1:7" x14ac:dyDescent="0.35">
      <c r="A7" t="s">
        <v>8</v>
      </c>
      <c r="B7">
        <v>0.224</v>
      </c>
      <c r="C7">
        <v>6.4000000000000001E-2</v>
      </c>
    </row>
    <row r="8" spans="1:7" x14ac:dyDescent="0.35">
      <c r="A8" t="s">
        <v>9</v>
      </c>
      <c r="B8">
        <v>0.224</v>
      </c>
      <c r="C8">
        <v>6.4000000000000001E-2</v>
      </c>
    </row>
    <row r="9" spans="1:7" x14ac:dyDescent="0.35">
      <c r="A9" t="s">
        <v>10</v>
      </c>
      <c r="B9">
        <v>0.224</v>
      </c>
      <c r="C9">
        <v>6.4000000000000001E-2</v>
      </c>
    </row>
    <row r="10" spans="1:7" x14ac:dyDescent="0.35">
      <c r="A10" t="s">
        <v>11</v>
      </c>
      <c r="B10">
        <v>0.224</v>
      </c>
      <c r="C10">
        <v>6.4000000000000001E-2</v>
      </c>
    </row>
    <row r="11" spans="1:7" x14ac:dyDescent="0.35">
      <c r="A11" t="s">
        <v>12</v>
      </c>
      <c r="B11">
        <v>0.224</v>
      </c>
      <c r="C11">
        <v>6.4000000000000001E-2</v>
      </c>
    </row>
    <row r="12" spans="1:7" x14ac:dyDescent="0.35">
      <c r="A12" t="s">
        <v>13</v>
      </c>
      <c r="B12">
        <v>0.16</v>
      </c>
      <c r="C12">
        <v>4.8000000000000001E-2</v>
      </c>
    </row>
    <row r="13" spans="1:7" x14ac:dyDescent="0.35">
      <c r="A13" t="s">
        <v>14</v>
      </c>
      <c r="B13">
        <v>0.16</v>
      </c>
      <c r="C13">
        <v>4.8000000000000001E-2</v>
      </c>
    </row>
    <row r="14" spans="1:7" x14ac:dyDescent="0.35">
      <c r="A14" t="s">
        <v>15</v>
      </c>
      <c r="B14">
        <v>0.224</v>
      </c>
      <c r="C14">
        <v>6.4000000000000001E-2</v>
      </c>
    </row>
    <row r="15" spans="1:7" x14ac:dyDescent="0.35">
      <c r="A15" t="s">
        <v>16</v>
      </c>
      <c r="B15">
        <v>0.16</v>
      </c>
      <c r="C15">
        <v>4.8000000000000001E-2</v>
      </c>
    </row>
    <row r="16" spans="1:7" x14ac:dyDescent="0.35">
      <c r="A16" t="s">
        <v>17</v>
      </c>
      <c r="B16">
        <v>0.16</v>
      </c>
      <c r="C16">
        <v>4.8000000000000001E-2</v>
      </c>
    </row>
    <row r="17" spans="1:3" x14ac:dyDescent="0.35">
      <c r="A17" t="s">
        <v>18</v>
      </c>
      <c r="B17">
        <v>0.16</v>
      </c>
      <c r="C17">
        <v>4.8000000000000001E-2</v>
      </c>
    </row>
    <row r="18" spans="1:3" x14ac:dyDescent="0.35">
      <c r="A18" t="s">
        <v>19</v>
      </c>
      <c r="B18">
        <v>0.224</v>
      </c>
      <c r="C18">
        <v>6.4000000000000001E-2</v>
      </c>
    </row>
    <row r="19" spans="1:3" x14ac:dyDescent="0.35">
      <c r="A19" t="s">
        <v>20</v>
      </c>
      <c r="B19">
        <v>0.224</v>
      </c>
      <c r="C19">
        <v>6.4000000000000001E-2</v>
      </c>
    </row>
    <row r="20" spans="1:3" x14ac:dyDescent="0.35">
      <c r="A20" t="s">
        <v>21</v>
      </c>
      <c r="B20">
        <v>0.16</v>
      </c>
      <c r="C20">
        <v>4.8000000000000001E-2</v>
      </c>
    </row>
    <row r="21" spans="1:3" x14ac:dyDescent="0.35">
      <c r="A21" t="s">
        <v>22</v>
      </c>
      <c r="B21">
        <v>0.16</v>
      </c>
      <c r="C21">
        <v>4.8000000000000001E-2</v>
      </c>
    </row>
    <row r="22" spans="1:3" x14ac:dyDescent="0.35">
      <c r="A22" t="s">
        <v>23</v>
      </c>
      <c r="B22">
        <v>0.16</v>
      </c>
      <c r="C22">
        <v>4.8000000000000001E-2</v>
      </c>
    </row>
    <row r="23" spans="1:3" x14ac:dyDescent="0.35">
      <c r="A23" t="s">
        <v>24</v>
      </c>
      <c r="B23">
        <v>0.224</v>
      </c>
      <c r="C23">
        <v>6.4000000000000001E-2</v>
      </c>
    </row>
    <row r="24" spans="1:3" x14ac:dyDescent="0.35">
      <c r="A24" t="s">
        <v>25</v>
      </c>
      <c r="B24">
        <v>0.16</v>
      </c>
      <c r="C24">
        <v>4.8000000000000001E-2</v>
      </c>
    </row>
    <row r="25" spans="1:3" x14ac:dyDescent="0.35">
      <c r="A25" t="s">
        <v>26</v>
      </c>
      <c r="B25">
        <v>0.224</v>
      </c>
      <c r="C25">
        <v>6.4000000000000001E-2</v>
      </c>
    </row>
    <row r="26" spans="1:3" x14ac:dyDescent="0.35">
      <c r="A26" t="s">
        <v>27</v>
      </c>
      <c r="B26">
        <v>0.16</v>
      </c>
      <c r="C26">
        <v>4.8000000000000001E-2</v>
      </c>
    </row>
    <row r="27" spans="1:3" x14ac:dyDescent="0.35">
      <c r="A27" t="s">
        <v>28</v>
      </c>
      <c r="B27">
        <v>0.224</v>
      </c>
      <c r="C27">
        <v>6.4000000000000001E-2</v>
      </c>
    </row>
    <row r="28" spans="1:3" x14ac:dyDescent="0.35">
      <c r="A28" t="s">
        <v>29</v>
      </c>
      <c r="B28">
        <v>0.224</v>
      </c>
      <c r="C28">
        <v>6.4000000000000001E-2</v>
      </c>
    </row>
    <row r="29" spans="1:3" x14ac:dyDescent="0.35">
      <c r="A29" t="s">
        <v>30</v>
      </c>
      <c r="B29">
        <v>0.16</v>
      </c>
      <c r="C29">
        <v>4.8000000000000001E-2</v>
      </c>
    </row>
    <row r="30" spans="1:3" x14ac:dyDescent="0.35">
      <c r="A30" t="s">
        <v>31</v>
      </c>
      <c r="B30">
        <v>0.16</v>
      </c>
      <c r="C30">
        <v>4.8000000000000001E-2</v>
      </c>
    </row>
    <row r="31" spans="1:3" x14ac:dyDescent="0.35">
      <c r="A31" t="s">
        <v>32</v>
      </c>
      <c r="B31">
        <v>0.16</v>
      </c>
      <c r="C31">
        <v>4.8000000000000001E-2</v>
      </c>
    </row>
    <row r="32" spans="1:3" x14ac:dyDescent="0.35">
      <c r="A32" t="s">
        <v>33</v>
      </c>
      <c r="B32">
        <v>0.16</v>
      </c>
      <c r="C32">
        <v>4.8000000000000001E-2</v>
      </c>
    </row>
    <row r="33" spans="1:3" x14ac:dyDescent="0.35">
      <c r="A33" t="s">
        <v>34</v>
      </c>
      <c r="B33">
        <v>0.16</v>
      </c>
      <c r="C33">
        <v>4.8000000000000001E-2</v>
      </c>
    </row>
    <row r="34" spans="1:3" x14ac:dyDescent="0.35">
      <c r="A34" t="s">
        <v>35</v>
      </c>
      <c r="B34">
        <v>0.224</v>
      </c>
      <c r="C34">
        <v>6.4000000000000001E-2</v>
      </c>
    </row>
    <row r="35" spans="1:3" x14ac:dyDescent="0.35">
      <c r="A35" t="s">
        <v>36</v>
      </c>
      <c r="B35">
        <v>0.224</v>
      </c>
      <c r="C35">
        <v>6.4000000000000001E-2</v>
      </c>
    </row>
    <row r="36" spans="1:3" x14ac:dyDescent="0.35">
      <c r="A36" t="s">
        <v>37</v>
      </c>
      <c r="B36">
        <v>0.224</v>
      </c>
      <c r="C36">
        <v>6.4000000000000001E-2</v>
      </c>
    </row>
    <row r="37" spans="1:3" x14ac:dyDescent="0.35">
      <c r="A37" t="s">
        <v>38</v>
      </c>
      <c r="B37">
        <v>0.224</v>
      </c>
      <c r="C37">
        <v>6.4000000000000001E-2</v>
      </c>
    </row>
    <row r="38" spans="1:3" x14ac:dyDescent="0.35">
      <c r="A38" t="s">
        <v>39</v>
      </c>
      <c r="B38">
        <v>0.224</v>
      </c>
      <c r="C38">
        <v>6.4000000000000001E-2</v>
      </c>
    </row>
    <row r="39" spans="1:3" x14ac:dyDescent="0.35">
      <c r="A39" t="s">
        <v>40</v>
      </c>
      <c r="B39">
        <v>0.224</v>
      </c>
      <c r="C39">
        <v>6.4000000000000001E-2</v>
      </c>
    </row>
    <row r="40" spans="1:3" x14ac:dyDescent="0.35">
      <c r="A40" t="s">
        <v>41</v>
      </c>
      <c r="B40">
        <v>0.224</v>
      </c>
      <c r="C40">
        <v>6.4000000000000001E-2</v>
      </c>
    </row>
    <row r="41" spans="1:3" x14ac:dyDescent="0.35">
      <c r="A41" t="s">
        <v>42</v>
      </c>
      <c r="B41">
        <v>0.224</v>
      </c>
      <c r="C41">
        <v>6.4000000000000001E-2</v>
      </c>
    </row>
    <row r="42" spans="1:3" x14ac:dyDescent="0.35">
      <c r="A42" t="s">
        <v>43</v>
      </c>
      <c r="B42">
        <v>0.224</v>
      </c>
      <c r="C42">
        <v>6.4000000000000001E-2</v>
      </c>
    </row>
    <row r="43" spans="1:3" x14ac:dyDescent="0.35">
      <c r="A43" t="s">
        <v>44</v>
      </c>
      <c r="B43">
        <v>0.224</v>
      </c>
      <c r="C43">
        <v>6.4000000000000001E-2</v>
      </c>
    </row>
    <row r="44" spans="1:3" x14ac:dyDescent="0.35">
      <c r="A44" t="s">
        <v>45</v>
      </c>
      <c r="B44">
        <v>0.224</v>
      </c>
      <c r="C44">
        <v>6.4000000000000001E-2</v>
      </c>
    </row>
    <row r="45" spans="1:3" x14ac:dyDescent="0.35">
      <c r="A45" t="s">
        <v>46</v>
      </c>
      <c r="B45">
        <v>0.224</v>
      </c>
      <c r="C45">
        <v>6.4000000000000001E-2</v>
      </c>
    </row>
    <row r="46" spans="1:3" x14ac:dyDescent="0.35">
      <c r="A46" t="s">
        <v>47</v>
      </c>
      <c r="B46">
        <v>0.224</v>
      </c>
      <c r="C46">
        <v>6.4000000000000001E-2</v>
      </c>
    </row>
    <row r="47" spans="1:3" x14ac:dyDescent="0.35">
      <c r="A47" t="s">
        <v>48</v>
      </c>
      <c r="B47">
        <v>0.16</v>
      </c>
      <c r="C47">
        <v>4.8000000000000001E-2</v>
      </c>
    </row>
    <row r="48" spans="1:3" x14ac:dyDescent="0.35">
      <c r="A48" t="s">
        <v>49</v>
      </c>
      <c r="B48">
        <v>0.16</v>
      </c>
      <c r="C48">
        <v>4.8000000000000001E-2</v>
      </c>
    </row>
    <row r="49" spans="1:3" x14ac:dyDescent="0.35">
      <c r="A49" t="s">
        <v>50</v>
      </c>
      <c r="B49">
        <v>0.16</v>
      </c>
      <c r="C49">
        <v>4.8000000000000001E-2</v>
      </c>
    </row>
    <row r="50" spans="1:3" x14ac:dyDescent="0.35">
      <c r="A50" t="s">
        <v>51</v>
      </c>
      <c r="B50">
        <v>0.16</v>
      </c>
      <c r="C50">
        <v>4.8000000000000001E-2</v>
      </c>
    </row>
    <row r="51" spans="1:3" x14ac:dyDescent="0.35">
      <c r="A51" t="s">
        <v>52</v>
      </c>
      <c r="B51">
        <v>0.16</v>
      </c>
      <c r="C51">
        <v>4.8000000000000001E-2</v>
      </c>
    </row>
    <row r="52" spans="1:3" x14ac:dyDescent="0.35">
      <c r="A52" t="s">
        <v>53</v>
      </c>
      <c r="B52">
        <v>0.16</v>
      </c>
      <c r="C52">
        <v>4.8000000000000001E-2</v>
      </c>
    </row>
    <row r="53" spans="1:3" x14ac:dyDescent="0.35">
      <c r="A53" t="s">
        <v>54</v>
      </c>
      <c r="B53">
        <v>0.16</v>
      </c>
      <c r="C53">
        <v>4.8000000000000001E-2</v>
      </c>
    </row>
    <row r="54" spans="1:3" x14ac:dyDescent="0.35">
      <c r="A54" t="s">
        <v>55</v>
      </c>
      <c r="B54">
        <v>0.16</v>
      </c>
      <c r="C54">
        <v>4.8000000000000001E-2</v>
      </c>
    </row>
    <row r="55" spans="1:3" x14ac:dyDescent="0.35">
      <c r="A55" t="s">
        <v>56</v>
      </c>
      <c r="B55">
        <v>0.16</v>
      </c>
      <c r="C55">
        <v>4.8000000000000001E-2</v>
      </c>
    </row>
    <row r="56" spans="1:3" x14ac:dyDescent="0.35">
      <c r="A56" t="s">
        <v>57</v>
      </c>
      <c r="B56">
        <v>0.16</v>
      </c>
      <c r="C56">
        <v>4.8000000000000001E-2</v>
      </c>
    </row>
    <row r="57" spans="1:3" x14ac:dyDescent="0.35">
      <c r="A57" t="s">
        <v>58</v>
      </c>
      <c r="B57">
        <v>0.16</v>
      </c>
      <c r="C57">
        <v>4.8000000000000001E-2</v>
      </c>
    </row>
    <row r="58" spans="1:3" x14ac:dyDescent="0.35">
      <c r="A58" t="s">
        <v>59</v>
      </c>
      <c r="B58">
        <v>0.224</v>
      </c>
      <c r="C58">
        <v>6.4000000000000001E-2</v>
      </c>
    </row>
    <row r="59" spans="1:3" x14ac:dyDescent="0.35">
      <c r="A59" t="s">
        <v>60</v>
      </c>
      <c r="B59">
        <v>9.6000000000000002E-2</v>
      </c>
      <c r="C59">
        <v>1.6E-2</v>
      </c>
    </row>
    <row r="60" spans="1:3" x14ac:dyDescent="0.35">
      <c r="A60" t="s">
        <v>61</v>
      </c>
      <c r="B60">
        <v>3.2000000000000001E-2</v>
      </c>
      <c r="C60">
        <v>4.8000000000000001E-2</v>
      </c>
    </row>
    <row r="61" spans="1:3" x14ac:dyDescent="0.35">
      <c r="A61" t="s">
        <v>62</v>
      </c>
      <c r="B61">
        <v>9.6000000000000002E-2</v>
      </c>
      <c r="C61">
        <v>1.6E-2</v>
      </c>
    </row>
    <row r="62" spans="1:3" x14ac:dyDescent="0.35">
      <c r="A62" t="s">
        <v>63</v>
      </c>
      <c r="B62">
        <v>9.6000000000000002E-2</v>
      </c>
      <c r="C62">
        <v>1.6E-2</v>
      </c>
    </row>
    <row r="63" spans="1:3" x14ac:dyDescent="0.35">
      <c r="A63" t="s">
        <v>64</v>
      </c>
      <c r="B63">
        <v>9.6000000000000002E-2</v>
      </c>
      <c r="C63">
        <v>1.6E-2</v>
      </c>
    </row>
    <row r="64" spans="1:3" x14ac:dyDescent="0.35">
      <c r="A64" t="s">
        <v>65</v>
      </c>
      <c r="B64">
        <v>6.4000000000000001E-2</v>
      </c>
      <c r="C64">
        <v>1.6E-2</v>
      </c>
    </row>
    <row r="65" spans="1:3" x14ac:dyDescent="0.35">
      <c r="A65" t="s">
        <v>66</v>
      </c>
      <c r="B65">
        <v>9.6000000000000002E-2</v>
      </c>
      <c r="C65">
        <v>1.6E-2</v>
      </c>
    </row>
    <row r="66" spans="1:3" x14ac:dyDescent="0.35">
      <c r="A66" t="s">
        <v>67</v>
      </c>
      <c r="B66">
        <v>0.32</v>
      </c>
      <c r="C66">
        <v>3.2000000000000001E-2</v>
      </c>
    </row>
    <row r="67" spans="1:3" x14ac:dyDescent="0.35">
      <c r="A67" t="s">
        <v>68</v>
      </c>
      <c r="B67">
        <v>0.16</v>
      </c>
      <c r="C67">
        <v>4.8000000000000001E-2</v>
      </c>
    </row>
    <row r="68" spans="1:3" x14ac:dyDescent="0.35">
      <c r="A68" t="s">
        <v>69</v>
      </c>
      <c r="B68">
        <v>0.16</v>
      </c>
      <c r="C68">
        <v>4.8000000000000001E-2</v>
      </c>
    </row>
    <row r="69" spans="1:3" x14ac:dyDescent="0.35">
      <c r="A69" t="s">
        <v>70</v>
      </c>
      <c r="B69">
        <v>0.16</v>
      </c>
      <c r="C69">
        <v>4.8000000000000001E-2</v>
      </c>
    </row>
    <row r="70" spans="1:3" x14ac:dyDescent="0.35">
      <c r="A70" t="s">
        <v>71</v>
      </c>
      <c r="B70">
        <v>0.16</v>
      </c>
      <c r="C70">
        <v>4.8000000000000001E-2</v>
      </c>
    </row>
    <row r="71" spans="1:3" x14ac:dyDescent="0.35">
      <c r="A71" t="s">
        <v>72</v>
      </c>
      <c r="B71">
        <v>0.16</v>
      </c>
      <c r="C71">
        <v>4.8000000000000001E-2</v>
      </c>
    </row>
    <row r="72" spans="1:3" x14ac:dyDescent="0.35">
      <c r="A72" t="s">
        <v>73</v>
      </c>
      <c r="B72">
        <v>0.16</v>
      </c>
      <c r="C72">
        <v>4.8000000000000001E-2</v>
      </c>
    </row>
    <row r="73" spans="1:3" x14ac:dyDescent="0.35">
      <c r="A73" t="s">
        <v>74</v>
      </c>
      <c r="B73">
        <v>0.16</v>
      </c>
      <c r="C73">
        <v>4.8000000000000001E-2</v>
      </c>
    </row>
    <row r="74" spans="1:3" x14ac:dyDescent="0.35">
      <c r="A74" t="s">
        <v>75</v>
      </c>
      <c r="B74">
        <v>0.224</v>
      </c>
      <c r="C74">
        <v>6.4000000000000001E-2</v>
      </c>
    </row>
    <row r="75" spans="1:3" x14ac:dyDescent="0.35">
      <c r="A75" t="s">
        <v>76</v>
      </c>
      <c r="B75">
        <v>0.224</v>
      </c>
      <c r="C75">
        <v>6.4000000000000001E-2</v>
      </c>
    </row>
    <row r="76" spans="1:3" x14ac:dyDescent="0.35">
      <c r="A76" t="s">
        <v>77</v>
      </c>
      <c r="B76">
        <v>0.32</v>
      </c>
      <c r="C76">
        <v>3.2000000000000001E-2</v>
      </c>
    </row>
    <row r="77" spans="1:3" x14ac:dyDescent="0.35">
      <c r="A77" t="s">
        <v>78</v>
      </c>
      <c r="B77">
        <v>0.624</v>
      </c>
      <c r="C77">
        <v>3.2000000000000001E-2</v>
      </c>
    </row>
    <row r="78" spans="1:3" x14ac:dyDescent="0.35">
      <c r="A78" t="s">
        <v>79</v>
      </c>
      <c r="B78">
        <v>0.624</v>
      </c>
      <c r="C78">
        <v>3.2000000000000001E-2</v>
      </c>
    </row>
    <row r="79" spans="1:3" x14ac:dyDescent="0.35">
      <c r="A79" t="s">
        <v>80</v>
      </c>
      <c r="B79">
        <v>0.624</v>
      </c>
      <c r="C79">
        <v>3.2000000000000001E-2</v>
      </c>
    </row>
    <row r="80" spans="1:3" x14ac:dyDescent="0.35">
      <c r="A80" t="s">
        <v>81</v>
      </c>
      <c r="B80">
        <v>0.624</v>
      </c>
      <c r="C80">
        <v>3.2000000000000001E-2</v>
      </c>
    </row>
    <row r="81" spans="1:3" x14ac:dyDescent="0.35">
      <c r="A81" t="s">
        <v>82</v>
      </c>
      <c r="B81">
        <v>0.624</v>
      </c>
      <c r="C81">
        <v>3.2000000000000001E-2</v>
      </c>
    </row>
    <row r="82" spans="1:3" x14ac:dyDescent="0.35">
      <c r="A82" t="s">
        <v>83</v>
      </c>
      <c r="B82">
        <v>0.624</v>
      </c>
      <c r="C82">
        <v>3.2000000000000001E-2</v>
      </c>
    </row>
    <row r="83" spans="1:3" x14ac:dyDescent="0.35">
      <c r="A83" t="s">
        <v>84</v>
      </c>
      <c r="B83">
        <v>0.624</v>
      </c>
      <c r="C83">
        <v>3.2000000000000001E-2</v>
      </c>
    </row>
    <row r="84" spans="1:3" x14ac:dyDescent="0.35">
      <c r="A84" t="s">
        <v>85</v>
      </c>
      <c r="B84">
        <v>0.14399999999999999</v>
      </c>
      <c r="C84">
        <v>3.2000000000000001E-2</v>
      </c>
    </row>
    <row r="85" spans="1:3" x14ac:dyDescent="0.35">
      <c r="A85" t="s">
        <v>86</v>
      </c>
      <c r="B85">
        <v>6.4000000000000001E-2</v>
      </c>
      <c r="C85">
        <v>1.6E-2</v>
      </c>
    </row>
    <row r="86" spans="1:3" x14ac:dyDescent="0.35">
      <c r="A86" t="s">
        <v>87</v>
      </c>
      <c r="B86">
        <v>9.6000000000000002E-2</v>
      </c>
      <c r="C86">
        <v>1.6E-2</v>
      </c>
    </row>
    <row r="87" spans="1:3" x14ac:dyDescent="0.35">
      <c r="A87" t="s">
        <v>88</v>
      </c>
      <c r="B87">
        <v>9.6000000000000002E-2</v>
      </c>
      <c r="C87">
        <v>1.6E-2</v>
      </c>
    </row>
    <row r="88" spans="1:3" x14ac:dyDescent="0.35">
      <c r="A88" t="s">
        <v>89</v>
      </c>
      <c r="B88">
        <v>0.128</v>
      </c>
      <c r="C88">
        <v>1.6E-2</v>
      </c>
    </row>
    <row r="89" spans="1:3" x14ac:dyDescent="0.35">
      <c r="A89" t="s">
        <v>90</v>
      </c>
      <c r="B89">
        <v>6.4000000000000001E-2</v>
      </c>
      <c r="C89">
        <v>1.6E-2</v>
      </c>
    </row>
    <row r="90" spans="1:3" x14ac:dyDescent="0.35">
      <c r="A90" t="s">
        <v>91</v>
      </c>
      <c r="B90">
        <v>9.6000000000000002E-2</v>
      </c>
      <c r="C90">
        <v>1.6E-2</v>
      </c>
    </row>
    <row r="91" spans="1:3" x14ac:dyDescent="0.35">
      <c r="A91" t="s">
        <v>92</v>
      </c>
      <c r="B91">
        <v>0.24</v>
      </c>
      <c r="C91">
        <v>3.2000000000000001E-2</v>
      </c>
    </row>
    <row r="92" spans="1:3" x14ac:dyDescent="0.35">
      <c r="A92" t="s">
        <v>93</v>
      </c>
      <c r="B92">
        <v>0.16</v>
      </c>
      <c r="C92">
        <v>3.2000000000000001E-2</v>
      </c>
    </row>
    <row r="93" spans="1:3" x14ac:dyDescent="0.35">
      <c r="A93" t="s">
        <v>94</v>
      </c>
      <c r="B93">
        <v>0.2</v>
      </c>
      <c r="C93">
        <v>3.2000000000000001E-2</v>
      </c>
    </row>
    <row r="94" spans="1:3" x14ac:dyDescent="0.35">
      <c r="A94" t="s">
        <v>95</v>
      </c>
      <c r="B94">
        <v>0.624</v>
      </c>
      <c r="C94">
        <v>3.2000000000000001E-2</v>
      </c>
    </row>
    <row r="95" spans="1:3" x14ac:dyDescent="0.35">
      <c r="A95" t="s">
        <v>96</v>
      </c>
      <c r="B95">
        <v>0.32</v>
      </c>
      <c r="C95">
        <v>3.2000000000000001E-2</v>
      </c>
    </row>
    <row r="96" spans="1:3" x14ac:dyDescent="0.35">
      <c r="A96" t="s">
        <v>97</v>
      </c>
      <c r="B96">
        <v>0.46400000000000002</v>
      </c>
      <c r="C96">
        <v>3.2000000000000001E-2</v>
      </c>
    </row>
  </sheetData>
  <mergeCells count="2">
    <mergeCell ref="E1:G1"/>
    <mergeCell ref="E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DF4C-2AE3-44A1-A914-FB22EB721AA2}">
  <dimension ref="A1:D90"/>
  <sheetViews>
    <sheetView tabSelected="1" workbookViewId="0">
      <selection activeCell="A93" sqref="A93"/>
    </sheetView>
  </sheetViews>
  <sheetFormatPr defaultRowHeight="14.5" x14ac:dyDescent="0.35"/>
  <cols>
    <col min="1" max="2" width="19.7265625" customWidth="1"/>
    <col min="3" max="3" width="19.54296875" customWidth="1"/>
    <col min="4" max="4" width="19.453125" customWidth="1"/>
    <col min="5" max="7" width="10.1796875" customWidth="1"/>
  </cols>
  <sheetData>
    <row r="1" spans="1:4" x14ac:dyDescent="0.35">
      <c r="A1" t="s">
        <v>146</v>
      </c>
    </row>
    <row r="2" spans="1:4" x14ac:dyDescent="0.35">
      <c r="A2" t="s">
        <v>138</v>
      </c>
      <c r="B2" t="s">
        <v>139</v>
      </c>
    </row>
    <row r="3" spans="1:4" x14ac:dyDescent="0.35">
      <c r="A3">
        <v>0.3741146496815283</v>
      </c>
      <c r="B3">
        <v>0.21217834394904417</v>
      </c>
    </row>
    <row r="5" spans="1:4" x14ac:dyDescent="0.35">
      <c r="A5" t="s">
        <v>149</v>
      </c>
    </row>
    <row r="6" spans="1:4" x14ac:dyDescent="0.35">
      <c r="A6" t="s">
        <v>138</v>
      </c>
      <c r="B6" t="s">
        <v>139</v>
      </c>
    </row>
    <row r="7" spans="1:4" x14ac:dyDescent="0.35">
      <c r="A7">
        <v>0.61723943661971781</v>
      </c>
      <c r="B7">
        <v>0.25442253521126756</v>
      </c>
    </row>
    <row r="10" spans="1:4" x14ac:dyDescent="0.35">
      <c r="A10" t="s">
        <v>134</v>
      </c>
    </row>
    <row r="11" spans="1:4" x14ac:dyDescent="0.35">
      <c r="A11" t="s">
        <v>135</v>
      </c>
      <c r="B11" t="s">
        <v>136</v>
      </c>
      <c r="C11" t="s">
        <v>138</v>
      </c>
      <c r="D11" t="s">
        <v>139</v>
      </c>
    </row>
    <row r="12" spans="1:4" x14ac:dyDescent="0.35">
      <c r="A12" t="s">
        <v>140</v>
      </c>
      <c r="B12" t="s">
        <v>141</v>
      </c>
      <c r="C12">
        <v>1.9416103896103902</v>
      </c>
      <c r="D12">
        <v>0.763636363636363</v>
      </c>
    </row>
    <row r="13" spans="1:4" x14ac:dyDescent="0.35">
      <c r="A13" t="s">
        <v>142</v>
      </c>
      <c r="B13" t="s">
        <v>143</v>
      </c>
      <c r="C13">
        <v>2.5029520766773201</v>
      </c>
      <c r="D13">
        <v>0.92748881789137261</v>
      </c>
    </row>
    <row r="14" spans="1:4" x14ac:dyDescent="0.35">
      <c r="A14" t="s">
        <v>144</v>
      </c>
      <c r="B14" t="s">
        <v>145</v>
      </c>
      <c r="C14">
        <v>3.3683678160919519</v>
      </c>
      <c r="D14">
        <v>1.153195402298852</v>
      </c>
    </row>
    <row r="17" spans="1:4" x14ac:dyDescent="0.35">
      <c r="A17" t="s">
        <v>150</v>
      </c>
    </row>
    <row r="18" spans="1:4" x14ac:dyDescent="0.35">
      <c r="A18" t="s">
        <v>151</v>
      </c>
      <c r="B18" t="s">
        <v>137</v>
      </c>
      <c r="C18" t="s">
        <v>138</v>
      </c>
      <c r="D18" t="s">
        <v>139</v>
      </c>
    </row>
    <row r="19" spans="1:4" x14ac:dyDescent="0.35">
      <c r="A19">
        <v>10</v>
      </c>
      <c r="B19">
        <v>35</v>
      </c>
      <c r="C19">
        <v>1.189485714285714</v>
      </c>
      <c r="D19">
        <v>0.80822857142857185</v>
      </c>
    </row>
    <row r="20" spans="1:4" x14ac:dyDescent="0.35">
      <c r="A20">
        <v>15</v>
      </c>
      <c r="B20">
        <v>32</v>
      </c>
      <c r="C20">
        <v>1.1839999999999999</v>
      </c>
      <c r="D20">
        <v>0.80000000000000038</v>
      </c>
    </row>
    <row r="21" spans="1:4" x14ac:dyDescent="0.35">
      <c r="A21">
        <v>25</v>
      </c>
      <c r="B21">
        <v>47</v>
      </c>
      <c r="C21">
        <v>1.1880851063829778</v>
      </c>
      <c r="D21">
        <v>0.80612765957446808</v>
      </c>
    </row>
    <row r="22" spans="1:4" x14ac:dyDescent="0.35">
      <c r="A22">
        <v>37</v>
      </c>
      <c r="B22">
        <v>30</v>
      </c>
      <c r="C22">
        <v>1.2383999999999999</v>
      </c>
      <c r="D22">
        <v>0.88160000000000049</v>
      </c>
    </row>
    <row r="23" spans="1:4" x14ac:dyDescent="0.35">
      <c r="A23">
        <v>50</v>
      </c>
      <c r="B23">
        <v>47</v>
      </c>
      <c r="C23">
        <v>1.2445957446808502</v>
      </c>
      <c r="D23">
        <v>0.89089361702127701</v>
      </c>
    </row>
    <row r="24" spans="1:4" x14ac:dyDescent="0.35">
      <c r="A24">
        <v>75</v>
      </c>
      <c r="B24">
        <v>41</v>
      </c>
      <c r="C24">
        <v>1.2776585365853663</v>
      </c>
      <c r="D24">
        <v>0.9369756097560975</v>
      </c>
    </row>
    <row r="25" spans="1:4" x14ac:dyDescent="0.35">
      <c r="A25">
        <v>100</v>
      </c>
      <c r="B25">
        <v>42</v>
      </c>
      <c r="C25">
        <v>1.2800000000000007</v>
      </c>
      <c r="D25">
        <v>0.94399999999999995</v>
      </c>
    </row>
    <row r="26" spans="1:4" x14ac:dyDescent="0.35">
      <c r="A26">
        <v>167</v>
      </c>
      <c r="B26">
        <v>39</v>
      </c>
      <c r="C26">
        <v>1.2800000000000007</v>
      </c>
      <c r="D26">
        <v>0.94399999999999973</v>
      </c>
    </row>
    <row r="27" spans="1:4" x14ac:dyDescent="0.35">
      <c r="A27">
        <v>250</v>
      </c>
      <c r="B27">
        <v>13</v>
      </c>
      <c r="C27">
        <v>1.3304615384615381</v>
      </c>
      <c r="D27">
        <v>0.96246153846153826</v>
      </c>
    </row>
    <row r="28" spans="1:4" x14ac:dyDescent="0.35">
      <c r="A28">
        <v>333</v>
      </c>
      <c r="B28">
        <v>9</v>
      </c>
      <c r="C28">
        <v>1.3546666666666665</v>
      </c>
      <c r="D28">
        <v>0.97599999999999987</v>
      </c>
    </row>
    <row r="29" spans="1:4" x14ac:dyDescent="0.35">
      <c r="A29">
        <v>500</v>
      </c>
      <c r="B29">
        <v>9</v>
      </c>
      <c r="C29">
        <v>1.3795555555555552</v>
      </c>
      <c r="D29">
        <v>0.98666666666666658</v>
      </c>
    </row>
    <row r="30" spans="1:4" x14ac:dyDescent="0.35">
      <c r="A30">
        <v>833</v>
      </c>
      <c r="B30">
        <v>4</v>
      </c>
      <c r="C30">
        <v>1.3640000000000001</v>
      </c>
      <c r="D30">
        <v>0.98</v>
      </c>
    </row>
    <row r="33" spans="1:3" x14ac:dyDescent="0.35">
      <c r="A33" t="s">
        <v>152</v>
      </c>
    </row>
    <row r="34" spans="1:3" x14ac:dyDescent="0.35">
      <c r="A34" t="s">
        <v>137</v>
      </c>
      <c r="B34" t="s">
        <v>138</v>
      </c>
      <c r="C34" t="s">
        <v>139</v>
      </c>
    </row>
    <row r="35" spans="1:3" x14ac:dyDescent="0.35">
      <c r="A35">
        <v>40</v>
      </c>
      <c r="B35">
        <v>0.39720000000000011</v>
      </c>
      <c r="C35">
        <v>0.11880000000000004</v>
      </c>
    </row>
    <row r="38" spans="1:3" x14ac:dyDescent="0.35">
      <c r="A38" t="s">
        <v>153</v>
      </c>
    </row>
    <row r="39" spans="1:3" x14ac:dyDescent="0.35">
      <c r="A39" t="s">
        <v>138</v>
      </c>
      <c r="B39" t="s">
        <v>139</v>
      </c>
    </row>
    <row r="40" spans="1:3" x14ac:dyDescent="0.35">
      <c r="A40">
        <v>0.65019047619047621</v>
      </c>
      <c r="B40">
        <v>0.20609523809523825</v>
      </c>
    </row>
    <row r="43" spans="1:3" x14ac:dyDescent="0.35">
      <c r="A43" t="s">
        <v>154</v>
      </c>
    </row>
    <row r="44" spans="1:3" x14ac:dyDescent="0.35">
      <c r="A44" t="s">
        <v>138</v>
      </c>
      <c r="B44" t="s">
        <v>139</v>
      </c>
    </row>
    <row r="45" spans="1:3" x14ac:dyDescent="0.35">
      <c r="A45">
        <v>0.53195652173913033</v>
      </c>
      <c r="B45">
        <v>0.15296086956521746</v>
      </c>
    </row>
    <row r="48" spans="1:3" x14ac:dyDescent="0.35">
      <c r="A48" t="s">
        <v>155</v>
      </c>
    </row>
    <row r="49" spans="1:2" x14ac:dyDescent="0.35">
      <c r="A49" t="s">
        <v>138</v>
      </c>
      <c r="B49" t="s">
        <v>139</v>
      </c>
    </row>
    <row r="50" spans="1:2" x14ac:dyDescent="0.35">
      <c r="A50">
        <v>0.36703448275862083</v>
      </c>
      <c r="B50">
        <v>0.16220689655172402</v>
      </c>
    </row>
    <row r="53" spans="1:2" x14ac:dyDescent="0.35">
      <c r="A53" t="s">
        <v>156</v>
      </c>
    </row>
    <row r="54" spans="1:2" x14ac:dyDescent="0.35">
      <c r="A54" t="s">
        <v>138</v>
      </c>
      <c r="B54" t="s">
        <v>139</v>
      </c>
    </row>
    <row r="55" spans="1:2" x14ac:dyDescent="0.35">
      <c r="A55">
        <v>0.10760784313725497</v>
      </c>
      <c r="B55">
        <v>6.4000000000000043E-2</v>
      </c>
    </row>
    <row r="58" spans="1:2" x14ac:dyDescent="0.35">
      <c r="A58" t="s">
        <v>157</v>
      </c>
    </row>
    <row r="59" spans="1:2" x14ac:dyDescent="0.35">
      <c r="A59" t="s">
        <v>138</v>
      </c>
      <c r="B59" t="s">
        <v>139</v>
      </c>
    </row>
    <row r="60" spans="1:2" x14ac:dyDescent="0.35">
      <c r="A60">
        <v>4.9230769230769231E-2</v>
      </c>
      <c r="B60">
        <v>3.93846153846154E-2</v>
      </c>
    </row>
    <row r="63" spans="1:2" x14ac:dyDescent="0.35">
      <c r="A63" t="s">
        <v>158</v>
      </c>
    </row>
    <row r="64" spans="1:2" x14ac:dyDescent="0.35">
      <c r="A64" t="s">
        <v>138</v>
      </c>
      <c r="B64" t="s">
        <v>139</v>
      </c>
    </row>
    <row r="65" spans="1:2" x14ac:dyDescent="0.35">
      <c r="A65">
        <v>6.6064516129032289E-2</v>
      </c>
      <c r="B65">
        <v>4.2322580645161305E-2</v>
      </c>
    </row>
    <row r="68" spans="1:2" x14ac:dyDescent="0.35">
      <c r="A68" t="s">
        <v>159</v>
      </c>
    </row>
    <row r="69" spans="1:2" x14ac:dyDescent="0.35">
      <c r="A69" t="s">
        <v>138</v>
      </c>
      <c r="B69" t="s">
        <v>139</v>
      </c>
    </row>
    <row r="70" spans="1:2" x14ac:dyDescent="0.35">
      <c r="A70">
        <v>0.57262385321100973</v>
      </c>
      <c r="B70">
        <v>0.52535779816513639</v>
      </c>
    </row>
    <row r="73" spans="1:2" x14ac:dyDescent="0.35">
      <c r="A73" t="s">
        <v>195</v>
      </c>
    </row>
    <row r="74" spans="1:2" x14ac:dyDescent="0.35">
      <c r="A74" t="s">
        <v>138</v>
      </c>
      <c r="B74" t="s">
        <v>139</v>
      </c>
    </row>
    <row r="75" spans="1:2" x14ac:dyDescent="0.35">
      <c r="A75">
        <v>0.23258536585365866</v>
      </c>
      <c r="B75">
        <v>0.12682926829268298</v>
      </c>
    </row>
    <row r="78" spans="1:2" x14ac:dyDescent="0.35">
      <c r="A78" t="s">
        <v>160</v>
      </c>
    </row>
    <row r="79" spans="1:2" x14ac:dyDescent="0.35">
      <c r="A79" t="s">
        <v>138</v>
      </c>
      <c r="B79" t="s">
        <v>139</v>
      </c>
    </row>
    <row r="80" spans="1:2" x14ac:dyDescent="0.35">
      <c r="A80">
        <v>1.692981132075472</v>
      </c>
      <c r="B80">
        <v>0.48000000000000004</v>
      </c>
    </row>
    <row r="83" spans="1:2" x14ac:dyDescent="0.35">
      <c r="A83" t="s">
        <v>161</v>
      </c>
    </row>
    <row r="84" spans="1:2" x14ac:dyDescent="0.35">
      <c r="A84" t="s">
        <v>138</v>
      </c>
      <c r="B84" t="s">
        <v>139</v>
      </c>
    </row>
    <row r="85" spans="1:2" x14ac:dyDescent="0.35">
      <c r="A85">
        <v>1.7579459459459466</v>
      </c>
      <c r="B85">
        <v>1.0097297297297296</v>
      </c>
    </row>
    <row r="88" spans="1:2" x14ac:dyDescent="0.35">
      <c r="A88" t="s">
        <v>196</v>
      </c>
    </row>
    <row r="89" spans="1:2" x14ac:dyDescent="0.35">
      <c r="A89" t="s">
        <v>138</v>
      </c>
      <c r="B89" t="s">
        <v>139</v>
      </c>
    </row>
    <row r="90" spans="1:2" x14ac:dyDescent="0.35">
      <c r="A90">
        <v>0.25600000000000017</v>
      </c>
      <c r="B90">
        <v>0.12800000000000009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0E84-4AB1-4E91-BD1B-2AE60D96106D}">
  <dimension ref="A1:E12"/>
  <sheetViews>
    <sheetView workbookViewId="0">
      <selection activeCell="H10" sqref="H10"/>
    </sheetView>
  </sheetViews>
  <sheetFormatPr defaultRowHeight="14.5" x14ac:dyDescent="0.35"/>
  <cols>
    <col min="1" max="1" width="16" customWidth="1"/>
    <col min="2" max="2" width="23.26953125" customWidth="1"/>
    <col min="3" max="3" width="44" customWidth="1"/>
  </cols>
  <sheetData>
    <row r="1" spans="1:5" ht="129.75" customHeight="1" x14ac:dyDescent="0.4">
      <c r="A1" s="2" t="s">
        <v>162</v>
      </c>
      <c r="B1" s="2" t="s">
        <v>163</v>
      </c>
      <c r="C1" s="2" t="s">
        <v>164</v>
      </c>
      <c r="D1" s="1" t="s">
        <v>1</v>
      </c>
    </row>
    <row r="2" spans="1:5" ht="129.75" customHeight="1" x14ac:dyDescent="0.35">
      <c r="A2" s="3" t="s">
        <v>165</v>
      </c>
      <c r="B2" s="3" t="s">
        <v>166</v>
      </c>
      <c r="C2" s="3" t="s">
        <v>167</v>
      </c>
      <c r="D2">
        <v>0.5</v>
      </c>
    </row>
    <row r="3" spans="1:5" ht="129.75" customHeight="1" x14ac:dyDescent="0.35">
      <c r="A3" s="3" t="s">
        <v>168</v>
      </c>
      <c r="B3" s="3" t="s">
        <v>169</v>
      </c>
      <c r="C3" s="3" t="s">
        <v>170</v>
      </c>
      <c r="D3">
        <v>0.5</v>
      </c>
    </row>
    <row r="4" spans="1:5" ht="129.75" customHeight="1" x14ac:dyDescent="0.35">
      <c r="A4" s="3" t="s">
        <v>171</v>
      </c>
      <c r="B4" s="3" t="s">
        <v>172</v>
      </c>
      <c r="C4" s="3" t="s">
        <v>173</v>
      </c>
      <c r="D4">
        <v>0.5</v>
      </c>
    </row>
    <row r="5" spans="1:5" ht="129.75" customHeight="1" x14ac:dyDescent="0.35">
      <c r="A5" s="3" t="s">
        <v>174</v>
      </c>
      <c r="B5" s="3" t="s">
        <v>175</v>
      </c>
      <c r="C5" s="3" t="s">
        <v>176</v>
      </c>
      <c r="D5">
        <v>1.5</v>
      </c>
      <c r="E5" s="3" t="s">
        <v>186</v>
      </c>
    </row>
    <row r="6" spans="1:5" ht="129.75" customHeight="1" x14ac:dyDescent="0.35">
      <c r="A6" s="3" t="s">
        <v>177</v>
      </c>
      <c r="B6" s="3" t="s">
        <v>178</v>
      </c>
      <c r="C6" s="3" t="s">
        <v>179</v>
      </c>
      <c r="D6">
        <v>4</v>
      </c>
      <c r="E6" s="3" t="s">
        <v>186</v>
      </c>
    </row>
    <row r="7" spans="1:5" ht="129.75" customHeight="1" x14ac:dyDescent="0.35">
      <c r="A7" s="3" t="s">
        <v>180</v>
      </c>
      <c r="B7" s="3" t="s">
        <v>181</v>
      </c>
      <c r="C7" s="3" t="s">
        <v>182</v>
      </c>
      <c r="D7">
        <v>0.54400000000000004</v>
      </c>
    </row>
    <row r="8" spans="1:5" ht="129.75" customHeight="1" x14ac:dyDescent="0.35">
      <c r="A8" s="3" t="s">
        <v>183</v>
      </c>
      <c r="B8" s="3" t="s">
        <v>184</v>
      </c>
      <c r="C8" s="3" t="s">
        <v>185</v>
      </c>
    </row>
    <row r="9" spans="1:5" ht="43.5" x14ac:dyDescent="0.35">
      <c r="A9" s="3" t="s">
        <v>187</v>
      </c>
      <c r="B9" s="8" t="s">
        <v>191</v>
      </c>
      <c r="D9">
        <v>0.5</v>
      </c>
    </row>
    <row r="10" spans="1:5" ht="43.5" x14ac:dyDescent="0.35">
      <c r="A10" s="3" t="s">
        <v>188</v>
      </c>
      <c r="B10" s="8" t="s">
        <v>192</v>
      </c>
      <c r="D10">
        <v>1.3120000000000001</v>
      </c>
    </row>
    <row r="11" spans="1:5" ht="58" x14ac:dyDescent="0.35">
      <c r="A11" s="3" t="s">
        <v>189</v>
      </c>
      <c r="B11" s="8" t="s">
        <v>193</v>
      </c>
      <c r="D11">
        <v>0.5</v>
      </c>
    </row>
    <row r="12" spans="1:5" ht="58" x14ac:dyDescent="0.35">
      <c r="A12" s="3" t="s">
        <v>190</v>
      </c>
      <c r="B12" s="8" t="s">
        <v>194</v>
      </c>
      <c r="D12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2489C-F9B5-4C0D-9D9F-425D69CDDDE4}">
  <dimension ref="A1:B3"/>
  <sheetViews>
    <sheetView workbookViewId="0">
      <selection activeCell="D32" sqref="D32"/>
    </sheetView>
  </sheetViews>
  <sheetFormatPr defaultRowHeight="14.5" x14ac:dyDescent="0.35"/>
  <cols>
    <col min="1" max="1" width="31" customWidth="1"/>
  </cols>
  <sheetData>
    <row r="1" spans="1:2" x14ac:dyDescent="0.35">
      <c r="A1" t="s">
        <v>197</v>
      </c>
      <c r="B1">
        <v>4.5</v>
      </c>
    </row>
    <row r="3" spans="1:2" x14ac:dyDescent="0.35">
      <c r="A3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796A-CE96-4EDD-93BD-53209E70392D}">
  <dimension ref="A1:B18"/>
  <sheetViews>
    <sheetView topLeftCell="A10" workbookViewId="0">
      <selection activeCell="A16" sqref="A16:XFD16"/>
    </sheetView>
  </sheetViews>
  <sheetFormatPr defaultRowHeight="14.5" x14ac:dyDescent="0.35"/>
  <cols>
    <col min="2" max="2" width="72.81640625" customWidth="1"/>
  </cols>
  <sheetData>
    <row r="1" spans="1:2" ht="79.5" customHeight="1" x14ac:dyDescent="0.35">
      <c r="A1" s="2" t="s">
        <v>100</v>
      </c>
      <c r="B1" s="2" t="s">
        <v>101</v>
      </c>
    </row>
    <row r="2" spans="1:2" ht="79.5" customHeight="1" x14ac:dyDescent="0.35">
      <c r="A2" s="3" t="s">
        <v>102</v>
      </c>
      <c r="B2" s="3" t="s">
        <v>127</v>
      </c>
    </row>
    <row r="3" spans="1:2" ht="79.5" customHeight="1" x14ac:dyDescent="0.35">
      <c r="A3" s="3" t="s">
        <v>103</v>
      </c>
      <c r="B3" s="3" t="s">
        <v>128</v>
      </c>
    </row>
    <row r="4" spans="1:2" ht="79.5" customHeight="1" x14ac:dyDescent="0.35">
      <c r="A4" s="3" t="s">
        <v>104</v>
      </c>
      <c r="B4" s="3" t="s">
        <v>105</v>
      </c>
    </row>
    <row r="5" spans="1:2" ht="79.5" customHeight="1" x14ac:dyDescent="0.35">
      <c r="A5" s="3" t="s">
        <v>106</v>
      </c>
      <c r="B5" s="3" t="s">
        <v>129</v>
      </c>
    </row>
    <row r="6" spans="1:2" ht="79.5" customHeight="1" x14ac:dyDescent="0.35">
      <c r="A6" s="3" t="s">
        <v>107</v>
      </c>
      <c r="B6" s="3" t="s">
        <v>108</v>
      </c>
    </row>
    <row r="7" spans="1:2" ht="79.5" customHeight="1" x14ac:dyDescent="0.35">
      <c r="A7" s="3" t="s">
        <v>109</v>
      </c>
      <c r="B7" s="3" t="s">
        <v>110</v>
      </c>
    </row>
    <row r="8" spans="1:2" ht="79.5" customHeight="1" x14ac:dyDescent="0.35">
      <c r="A8" s="3" t="s">
        <v>111</v>
      </c>
      <c r="B8" s="3" t="s">
        <v>130</v>
      </c>
    </row>
    <row r="9" spans="1:2" ht="79.5" customHeight="1" x14ac:dyDescent="0.35">
      <c r="A9" s="3" t="s">
        <v>112</v>
      </c>
      <c r="B9" s="3" t="s">
        <v>113</v>
      </c>
    </row>
    <row r="10" spans="1:2" ht="79.5" customHeight="1" x14ac:dyDescent="0.35">
      <c r="A10" s="3" t="s">
        <v>114</v>
      </c>
      <c r="B10" s="3" t="s">
        <v>115</v>
      </c>
    </row>
    <row r="11" spans="1:2" ht="79.5" customHeight="1" x14ac:dyDescent="0.35">
      <c r="A11" s="3" t="s">
        <v>116</v>
      </c>
      <c r="B11" s="3" t="s">
        <v>117</v>
      </c>
    </row>
    <row r="12" spans="1:2" ht="79.5" customHeight="1" x14ac:dyDescent="0.35">
      <c r="A12" s="3" t="s">
        <v>118</v>
      </c>
      <c r="B12" s="3" t="s">
        <v>119</v>
      </c>
    </row>
    <row r="13" spans="1:2" ht="79.5" customHeight="1" x14ac:dyDescent="0.35">
      <c r="A13" s="3" t="s">
        <v>98</v>
      </c>
      <c r="B13" s="3" t="s">
        <v>131</v>
      </c>
    </row>
    <row r="14" spans="1:2" ht="79.5" customHeight="1" x14ac:dyDescent="0.35">
      <c r="A14" s="3" t="s">
        <v>120</v>
      </c>
      <c r="B14" s="3" t="s">
        <v>121</v>
      </c>
    </row>
    <row r="15" spans="1:2" ht="79.5" customHeight="1" x14ac:dyDescent="0.35">
      <c r="A15" s="3" t="s">
        <v>99</v>
      </c>
      <c r="B15" s="3" t="s">
        <v>132</v>
      </c>
    </row>
    <row r="16" spans="1:2" ht="79.5" customHeight="1" x14ac:dyDescent="0.35">
      <c r="A16" s="3" t="s">
        <v>122</v>
      </c>
      <c r="B16" s="3" t="s">
        <v>123</v>
      </c>
    </row>
    <row r="17" spans="1:2" ht="79.5" customHeight="1" x14ac:dyDescent="0.35">
      <c r="A17" s="3" t="s">
        <v>124</v>
      </c>
      <c r="B17" s="3" t="s">
        <v>133</v>
      </c>
    </row>
    <row r="18" spans="1:2" ht="79.5" customHeight="1" x14ac:dyDescent="0.35">
      <c r="A18" s="3" t="s">
        <v>125</v>
      </c>
      <c r="B18" s="3" t="s">
        <v>126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WQ+ezEzM0NGMTdELUU5MzItNDhGOC1COEVBLUE4RUNGQzYxRTk0Rn08L2lkPjxWYWxpZD50cnVlPC9WYWxpZD48aXRlbT48c2lzbCBzaXNsVmVyc2lvbj0iMCIgcG9saWN5PSJlOWMwYjhkNy1iZGI0LTRmZDMtYjYyYS1mNTAzMjdhYWVmY2UiIG9yaWdpbj0idXNlclNlbGVjdGVkIj48ZWxlbWVudCB1aWQ9IjUwYzMxODI0LTA3ODAtNDkxMC04N2QxLWVhYWZmZDE4MmQ0MiIgdmFsdWU9IiIgeG1sbnM9Imh0dHA6Ly93d3cuYm9sZG9uamFtZXMuY29tLzIwMDgvMDEvc2llL2ludGVybmFsL2xhYmVsIiAvPjxlbGVtZW50IHVpZD0iZDE0ZjVjMzYtZjQ0YS00MzE1LWI0MzgtMDA1Y2ZlOGYwNjlmIiB2YWx1ZT0iIiB4bWxucz0iaHR0cDovL3d3dy5ib2xkb25qYW1lcy5jb20vMjAwOC8wMS9zaWUvaW50ZXJuYWwvbGFiZWwiIC8+PC9zaXNsPjxVc2VyTmFtZT5DT1JQXHowMDA5NDg8L1VzZXJOYW1lPjxEYXRlVGltZT4xMC8yLzIwMjYgMTI6Mjg6MzggUE08L0RhdGVUaW1lPjxMYWJlbFN0cmluZz5BRVAgSW50ZXJuYWw8L0xhYmVsU3RyaW5nPjwvaXRlbT48L2xhYmVsSGlzdG9yeT4=</Value>
  <Signature xmlns="http://www.w3.org/2000/09/xmldsig#">
    <SignedInfo>
      <CanonicalizationMethod Algorithm="http://www.w3.org/TR/2001/REC-xml-c14n-20010315"/>
      <SignatureMethod Algorithm="http://www.w3.org/2001/04/xmldsig-more#rsa-sha256"/>
      <Reference URI="">
        <Transforms>
          <Transform Algorithm="http://www.w3.org/2000/09/xmldsig#enveloped-signature"/>
        </Transforms>
        <DigestMethod Algorithm="http://www.w3.org/2001/04/xmlenc#sha256"/>
        <DigestValue>WSrHXzuOAGVft1k9SS57jL0FNNeZ1OqlLHv/m0Z4cvo=</DigestValue>
      </Reference>
      <Reference URI="#CLASSIFICATIONHISTORY">
        <DigestMethod Algorithm="http://www.w3.org/2001/04/xmlenc#sha256"/>
        <DigestValue>HOahd1yQe0Et5UbZ3UXDue2mPkNArPILTUfIBe1fwC4=</DigestValue>
      </Reference>
    </SignedInfo>
    <SignatureValue>HTsbqzSI5KYhAZ+5VUFEZPDsl28OUxi5ONemcgR5JaPDBZ+2QqFPx6glJKxhs8dJRYcXIkiiLIkYO7lbVdSlDg==</SignatureValue>
    <Object Id="CLASSIFICATIONHISTORY">
      <ArrayOfString xmlns:xsd="http://www.w3.org/2001/XMLSchema" xmlns:xsi="http://www.w3.org/2001/XMLSchema-instance" xmlns="">
        <string>m/QH8hpPumZOeXjRvUT+qezZBXrGj4AE</string>
      </ArrayOfString>
    </Object>
  </Signatur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userSelected">
  <element uid="50c31824-0780-4910-87d1-eaaffd182d42" value=""/>
  <element uid="d14f5c36-f44a-4315-b438-005cfe8f069f" value=""/>
</sisl>
</file>

<file path=customXml/itemProps1.xml><?xml version="1.0" encoding="utf-8"?>
<ds:datastoreItem xmlns:ds="http://schemas.openxmlformats.org/officeDocument/2006/customXml" ds:itemID="{133CF17D-E932-48F8-B8EA-A8ECFC61E94F}">
  <ds:schemaRefs>
    <ds:schemaRef ds:uri="http://www.w3.org/2001/XMLSchema"/>
    <ds:schemaRef ds:uri="http://www.boldonjames.com/2016/02/Classifier/internal/wrappedLabelHistory"/>
    <ds:schemaRef ds:uri="http://www.w3.org/2000/09/xmldsig#"/>
    <ds:schemaRef ds:uri=""/>
  </ds:schemaRefs>
</ds:datastoreItem>
</file>

<file path=customXml/itemProps2.xml><?xml version="1.0" encoding="utf-8"?>
<ds:datastoreItem xmlns:ds="http://schemas.openxmlformats.org/officeDocument/2006/customXml" ds:itemID="{CCB43ECB-AAE5-469E-9AFA-91EC4F63FA7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CNC</vt:lpstr>
      <vt:lpstr>Labor time material related</vt:lpstr>
      <vt:lpstr>Labor only work</vt:lpstr>
      <vt:lpstr>Indirect Labor Multiplier</vt:lpstr>
      <vt:lpstr>CU Group 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 Shellenberger</dc:creator>
  <cp:lastModifiedBy>Daniel H Lavely</cp:lastModifiedBy>
  <dcterms:created xsi:type="dcterms:W3CDTF">2026-10-02T12:28:06Z</dcterms:created>
  <dcterms:modified xsi:type="dcterms:W3CDTF">2026-10-15T13:52:03Z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88342e02-0008-4b8e-94c0-013851fe33f3</vt:lpwstr>
  </property>
  <property fmtid="{D5CDD505-2E9C-101B-9397-08002B2CF9AE}" pid="3" name="bjClsUserRVM">
    <vt:lpwstr>[]</vt:lpwstr>
  </property>
  <property fmtid="{D5CDD505-2E9C-101B-9397-08002B2CF9AE}" pid="4" name="bjSaver">
    <vt:lpwstr>xkyFdva3YcJOdkZdJpbEefvJ7g1YXovF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policy="e9c0b8d7-bdb4-4fd3-b62a-f50327aaefce" origin="userSelected" xmlns="http://www.boldonj</vt:lpwstr>
  </property>
  <property fmtid="{D5CDD505-2E9C-101B-9397-08002B2CF9AE}" pid="6" name="bjDocumentLabelXML-0">
    <vt:lpwstr>ames.com/2008/01/sie/internal/label"&gt;&lt;element uid="50c31824-0780-4910-87d1-eaaffd182d42" value="" /&gt;&lt;element uid="d14f5c36-f44a-4315-b438-005cfe8f069f" value="" /&gt;&lt;/sisl&gt;</vt:lpwstr>
  </property>
  <property fmtid="{D5CDD505-2E9C-101B-9397-08002B2CF9AE}" pid="7" name="bjDocumentSecurityLabel">
    <vt:lpwstr>AEP Internal</vt:lpwstr>
  </property>
  <property fmtid="{D5CDD505-2E9C-101B-9397-08002B2CF9AE}" pid="8" name="MSIP_Label_69f43042-6bda-44b2-91eb-eca3d3d484f4_SiteId">
    <vt:lpwstr>15f3c881-6b03-4ff6-8559-77bf5177818f</vt:lpwstr>
  </property>
  <property fmtid="{D5CDD505-2E9C-101B-9397-08002B2CF9AE}" pid="9" name="MSIP_Label_69f43042-6bda-44b2-91eb-eca3d3d484f4_Name">
    <vt:lpwstr>AEP Internal</vt:lpwstr>
  </property>
  <property fmtid="{D5CDD505-2E9C-101B-9397-08002B2CF9AE}" pid="10" name="MSIP_Label_69f43042-6bda-44b2-91eb-eca3d3d484f4_Enabled">
    <vt:lpwstr>true</vt:lpwstr>
  </property>
  <property fmtid="{D5CDD505-2E9C-101B-9397-08002B2CF9AE}" pid="11" name="bjpmDocIH">
    <vt:lpwstr>UlCBV6MZkbRiHma6CQZ9UtsxQkWfju0H</vt:lpwstr>
  </property>
  <property fmtid="{D5CDD505-2E9C-101B-9397-08002B2CF9AE}" pid="12" name="bjLabelHistoryID">
    <vt:lpwstr>{133CF17D-E932-48F8-B8EA-A8ECFC61E94F}</vt:lpwstr>
  </property>
</Properties>
</file>